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2024\Desktop\CÔNG TRÌNH\pagoda 220126\"/>
    </mc:Choice>
  </mc:AlternateContent>
  <xr:revisionPtr revIDLastSave="0" documentId="13_ncr:1_{DB0BD913-5F78-49F6-82EB-0099B39827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2" r:id="rId1"/>
    <sheet name="cổng chào" sheetId="3" r:id="rId2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K16" i="3" l="1"/>
  <c r="K17" i="3"/>
  <c r="K8" i="2"/>
  <c r="K18" i="3" l="1"/>
  <c r="K19" i="3" s="1"/>
  <c r="K20" i="3" s="1"/>
  <c r="K23" i="3" s="1"/>
  <c r="K9" i="2"/>
  <c r="K10" i="2" l="1"/>
  <c r="K11" i="2" s="1"/>
  <c r="K12" i="2" s="1"/>
</calcChain>
</file>

<file path=xl/sharedStrings.xml><?xml version="1.0" encoding="utf-8"?>
<sst xmlns="http://schemas.openxmlformats.org/spreadsheetml/2006/main" count="63" uniqueCount="39">
  <si>
    <t>Công ty chúng tôi xin trân trọng báo giá như sau :</t>
  </si>
  <si>
    <t>Stt</t>
  </si>
  <si>
    <t>Hạng mục</t>
  </si>
  <si>
    <t>Quy cách</t>
  </si>
  <si>
    <t>Đvt</t>
  </si>
  <si>
    <t>Số lượng</t>
  </si>
  <si>
    <t>Diện tích</t>
  </si>
  <si>
    <t>Đơn giá</t>
  </si>
  <si>
    <t>Thành tiền</t>
  </si>
  <si>
    <t>Ngang</t>
  </si>
  <si>
    <t>Cao</t>
  </si>
  <si>
    <t>Ghi chú:</t>
  </si>
  <si>
    <t>Xin cảm ơn Quý khách đã quan tâm đến sản phẩm của Công ty chúng tôi!</t>
  </si>
  <si>
    <t>Trân trọng kính chào !</t>
  </si>
  <si>
    <t>Khách hàng</t>
  </si>
  <si>
    <t>Đại diện công ty</t>
  </si>
  <si>
    <t>Kích thước (m)</t>
  </si>
  <si>
    <t>ĐƠN ĐẶT HÀNG</t>
  </si>
  <si>
    <t>Rộng</t>
  </si>
  <si>
    <t xml:space="preserve">Ghi chú </t>
  </si>
  <si>
    <t>m2</t>
  </si>
  <si>
    <t>Thuế VAT 8%</t>
  </si>
  <si>
    <t xml:space="preserve">            Cộng tiền hàng</t>
  </si>
  <si>
    <t xml:space="preserve">                    Tổng giá trị thanh toán</t>
  </si>
  <si>
    <t>Tổng tiền hàng + VAT</t>
  </si>
  <si>
    <t>Decal</t>
  </si>
  <si>
    <t>Tp.BMT, ngày 10 tháng 05 năm 2025</t>
  </si>
  <si>
    <t>Kính gửi : CÔNG TY TNHH CÔNG NGHIỆP THỰC PHẨM PAGODA</t>
  </si>
  <si>
    <t>Kính gửi :CÔNG TY TNHH THỌ SƠN ĐẮK NÔNG</t>
  </si>
  <si>
    <t>Địa chỉ :Thôn 9, Xã Đắk Wil, Huyện Cư Jút, Tỉnh Đắk Nông</t>
  </si>
  <si>
    <t>Bộ Hoa và sao</t>
  </si>
  <si>
    <t>Alu+ form</t>
  </si>
  <si>
    <t xml:space="preserve">Lưới mắt cáo sơn đen bạc </t>
  </si>
  <si>
    <t>m</t>
  </si>
  <si>
    <t xml:space="preserve">bộ </t>
  </si>
  <si>
    <t xml:space="preserve">tạm ứng đợt 1 </t>
  </si>
  <si>
    <t xml:space="preserve">Tạm ứng đợt 2 </t>
  </si>
  <si>
    <t>Địa chỉ :Lô 1A-1B KCN Tâm Thắng, Xã  Cư Jut, Tỉnh Lâm Đồng</t>
  </si>
  <si>
    <t>Đắk Lắk, ngày 22 tháng 1 năm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</si>
</sst>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₫_-;\-* #,##0.00\ _₫_-;_-* &quot;-&quot;??\ _₫_-;_-@_-"/>
    <numFmt numFmtId="165" formatCode="_-* #,##0\ _₫_-;\-* #,##0\ _₫_-;_-* &quot;-&quot;??\ _₫_-;_-@_-"/>
    <numFmt numFmtId="166" formatCode="_(* #,##0_);_(* \(#,##0\);_(* &quot;-&quot;??_);_(@_)"/>
  </numFmts>
  <fonts count="16" x14ac:knownFonts="1">
    <font>
      <sz val="11"/>
      <color theme="1"/>
      <name val="Calibri"/>
      <charset val="163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3" tint="0.799951170384838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4">
    <xf numFmtId="0" fontId="0" fillId="0" borderId="0"/>
    <xf numFmtId="164" fontId="10" fillId="0" borderId="0" applyFont="0" applyFill="0" applyBorder="0" applyAlignment="0" applyProtection="0"/>
    <xf numFmtId="0" fontId="9" fillId="0" borderId="0"/>
    <xf numFmtId="164" fontId="9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2" applyFont="1" applyAlignment="1">
      <alignment horizontal="left" vertical="center"/>
    </xf>
    <xf numFmtId="0" fontId="2" fillId="0" borderId="0" xfId="2" applyFont="1" applyAlignment="1">
      <alignment horizontal="left"/>
    </xf>
    <xf numFmtId="0" fontId="4" fillId="0" borderId="0" xfId="2" applyFont="1"/>
    <xf numFmtId="0" fontId="5" fillId="2" borderId="1" xfId="2" applyFont="1" applyFill="1" applyBorder="1" applyAlignment="1">
      <alignment horizontal="center" vertical="center"/>
    </xf>
    <xf numFmtId="0" fontId="2" fillId="3" borderId="1" xfId="2" applyFont="1" applyFill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5" fillId="2" borderId="6" xfId="2" applyFont="1" applyFill="1" applyBorder="1" applyAlignment="1">
      <alignment horizontal="center" vertical="center"/>
    </xf>
    <xf numFmtId="0" fontId="1" fillId="0" borderId="0" xfId="2" applyFont="1" applyAlignment="1">
      <alignment horizontal="left"/>
    </xf>
    <xf numFmtId="0" fontId="1" fillId="0" borderId="0" xfId="2" applyFont="1"/>
    <xf numFmtId="0" fontId="2" fillId="0" borderId="0" xfId="2" applyFont="1"/>
    <xf numFmtId="0" fontId="6" fillId="0" borderId="0" xfId="0" applyFont="1"/>
    <xf numFmtId="166" fontId="4" fillId="0" borderId="0" xfId="3" applyNumberFormat="1" applyFont="1"/>
    <xf numFmtId="165" fontId="4" fillId="3" borderId="1" xfId="1" applyNumberFormat="1" applyFont="1" applyFill="1" applyBorder="1" applyAlignment="1">
      <alignment horizontal="center" vertical="center" wrapText="1"/>
    </xf>
    <xf numFmtId="0" fontId="5" fillId="0" borderId="6" xfId="2" applyFont="1" applyBorder="1" applyAlignment="1">
      <alignment horizontal="center" vertical="center"/>
    </xf>
    <xf numFmtId="166" fontId="1" fillId="0" borderId="1" xfId="3" applyNumberFormat="1" applyFont="1" applyBorder="1"/>
    <xf numFmtId="166" fontId="1" fillId="2" borderId="1" xfId="3" applyNumberFormat="1" applyFont="1" applyFill="1" applyBorder="1"/>
    <xf numFmtId="0" fontId="12" fillId="0" borderId="0" xfId="0" applyFont="1"/>
    <xf numFmtId="0" fontId="12" fillId="0" borderId="1" xfId="0" applyFont="1" applyBorder="1"/>
    <xf numFmtId="0" fontId="12" fillId="4" borderId="1" xfId="0" applyFont="1" applyFill="1" applyBorder="1"/>
    <xf numFmtId="0" fontId="1" fillId="2" borderId="1" xfId="2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" fillId="0" borderId="5" xfId="2" applyFont="1" applyBorder="1" applyAlignment="1">
      <alignment vertical="center"/>
    </xf>
    <xf numFmtId="0" fontId="1" fillId="0" borderId="6" xfId="2" applyFont="1" applyBorder="1" applyAlignment="1">
      <alignment vertical="center"/>
    </xf>
    <xf numFmtId="166" fontId="0" fillId="0" borderId="0" xfId="0" applyNumberFormat="1"/>
    <xf numFmtId="0" fontId="1" fillId="0" borderId="0" xfId="2" applyFont="1" applyAlignment="1">
      <alignment vertical="center"/>
    </xf>
    <xf numFmtId="3" fontId="4" fillId="3" borderId="1" xfId="2" applyNumberFormat="1" applyFont="1" applyFill="1" applyBorder="1" applyAlignment="1">
      <alignment horizontal="right" vertical="center" wrapText="1"/>
    </xf>
    <xf numFmtId="0" fontId="2" fillId="0" borderId="0" xfId="2" applyFont="1" applyAlignment="1">
      <alignment horizontal="center"/>
    </xf>
    <xf numFmtId="0" fontId="2" fillId="0" borderId="4" xfId="2" applyFont="1" applyBorder="1" applyAlignment="1">
      <alignment horizontal="center" vertical="center"/>
    </xf>
    <xf numFmtId="0" fontId="2" fillId="0" borderId="5" xfId="2" applyFont="1" applyBorder="1" applyAlignment="1">
      <alignment horizontal="center" vertical="center"/>
    </xf>
    <xf numFmtId="0" fontId="2" fillId="3" borderId="2" xfId="2" applyFont="1" applyFill="1" applyBorder="1" applyAlignment="1">
      <alignment horizontal="center" vertical="center"/>
    </xf>
    <xf numFmtId="0" fontId="13" fillId="4" borderId="3" xfId="0" applyFont="1" applyFill="1" applyBorder="1" applyAlignment="1">
      <alignment horizontal="center" vertical="center" wrapText="1"/>
    </xf>
    <xf numFmtId="0" fontId="2" fillId="0" borderId="0" xfId="2" applyFont="1" applyAlignment="1">
      <alignment horizontal="left"/>
    </xf>
    <xf numFmtId="0" fontId="5" fillId="2" borderId="6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center" vertical="center"/>
    </xf>
    <xf numFmtId="0" fontId="2" fillId="0" borderId="0" xfId="2" applyFont="1" applyAlignment="1">
      <alignment horizontal="center"/>
    </xf>
    <xf numFmtId="166" fontId="12" fillId="0" borderId="1" xfId="0" applyNumberFormat="1" applyFont="1" applyBorder="1"/>
    <xf numFmtId="166" fontId="15" fillId="0" borderId="1" xfId="3" applyNumberFormat="1" applyFont="1" applyBorder="1"/>
    <xf numFmtId="0" fontId="1" fillId="0" borderId="0" xfId="2" applyFont="1" applyAlignment="1">
      <alignment horizontal="center"/>
    </xf>
    <xf numFmtId="0" fontId="1" fillId="0" borderId="4" xfId="2" applyFont="1" applyBorder="1" applyAlignment="1">
      <alignment horizontal="center" vertical="center"/>
    </xf>
    <xf numFmtId="0" fontId="1" fillId="0" borderId="5" xfId="2" applyFont="1" applyBorder="1" applyAlignment="1">
      <alignment horizontal="center" vertical="center"/>
    </xf>
    <xf numFmtId="0" fontId="2" fillId="0" borderId="0" xfId="2" applyFont="1" applyAlignment="1">
      <alignment horizontal="left"/>
    </xf>
    <xf numFmtId="0" fontId="3" fillId="0" borderId="0" xfId="2" applyFont="1" applyAlignment="1">
      <alignment horizontal="center"/>
    </xf>
    <xf numFmtId="0" fontId="1" fillId="2" borderId="4" xfId="2" applyFont="1" applyFill="1" applyBorder="1" applyAlignment="1">
      <alignment horizontal="center" vertical="center"/>
    </xf>
    <xf numFmtId="0" fontId="1" fillId="2" borderId="5" xfId="2" applyFont="1" applyFill="1" applyBorder="1" applyAlignment="1">
      <alignment horizontal="center" vertical="center"/>
    </xf>
    <xf numFmtId="0" fontId="5" fillId="2" borderId="6" xfId="2" applyFont="1" applyFill="1" applyBorder="1" applyAlignment="1">
      <alignment horizontal="center" vertical="center"/>
    </xf>
    <xf numFmtId="0" fontId="5" fillId="2" borderId="5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2" borderId="1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/>
    </xf>
    <xf numFmtId="0" fontId="5" fillId="2" borderId="3" xfId="2" applyFont="1" applyFill="1" applyBorder="1" applyAlignment="1">
      <alignment horizontal="center" vertical="center"/>
    </xf>
    <xf numFmtId="0" fontId="5" fillId="2" borderId="2" xfId="2" applyFont="1" applyFill="1" applyBorder="1" applyAlignment="1">
      <alignment horizontal="center" vertical="center" wrapText="1"/>
    </xf>
    <xf numFmtId="0" fontId="5" fillId="2" borderId="3" xfId="2" applyFont="1" applyFill="1" applyBorder="1" applyAlignment="1">
      <alignment horizontal="center" vertical="center" wrapText="1"/>
    </xf>
    <xf numFmtId="166" fontId="5" fillId="2" borderId="1" xfId="3" applyNumberFormat="1" applyFont="1" applyFill="1" applyBorder="1" applyAlignment="1">
      <alignment horizontal="center" vertical="center"/>
    </xf>
    <xf numFmtId="0" fontId="1" fillId="0" borderId="7" xfId="2" applyFont="1" applyBorder="1" applyAlignment="1">
      <alignment horizontal="left"/>
    </xf>
    <xf numFmtId="0" fontId="2" fillId="0" borderId="0" xfId="2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14" fillId="0" borderId="4" xfId="2" applyFont="1" applyBorder="1" applyAlignment="1">
      <alignment horizontal="center"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3" fillId="4" borderId="2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</cellXfs>
  <cellStyles count="4">
    <cellStyle name="Comma" xfId="1" builtinId="3"/>
    <cellStyle name="Comma 2" xfId="3" xr:uid="{00000000-0005-0000-0000-000001000000}"/>
    <cellStyle name="Normal" xfId="0" builtinId="0"/>
    <cellStyle name="Normal 2" xfId="2" xr:uid="{00000000-0005-0000-0000-000003000000}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11</xdr:col>
      <xdr:colOff>121920</xdr:colOff>
      <xdr:row>0</xdr:row>
      <xdr:rowOff>1607821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E0B031-2753-F123-0A40-A48AD6FCD9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"/>
          <a:ext cx="927354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76200</xdr:colOff>
      <xdr:row>8</xdr:row>
      <xdr:rowOff>144780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48FB9E1-57BF-4768-A378-223D11F659D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8557260" cy="16078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27"/>
  <sheetViews>
    <sheetView tabSelected="1" topLeftCell="A4" zoomScaleNormal="100" workbookViewId="0">
      <selection activeCell="G18" sqref="G18:J18"/>
    </sheetView>
  </sheetViews>
  <sheetFormatPr defaultColWidth="9" defaultRowHeight="14.4" x14ac:dyDescent="0.3"/>
  <cols>
    <col min="1" max="1" width="10.6640625" customWidth="1"/>
    <col min="2" max="2" width="14.77734375" customWidth="1"/>
    <col min="3" max="3" width="13.44140625" customWidth="1"/>
    <col min="4" max="4" width="13.77734375" customWidth="1"/>
    <col min="5" max="6" width="8.44140625" customWidth="1"/>
    <col min="9" max="9" width="9.44140625" bestFit="1" customWidth="1"/>
    <col min="10" max="10" width="20.6640625" customWidth="1"/>
    <col min="11" max="11" width="15.44140625" customWidth="1"/>
  </cols>
  <sheetData>
    <row r="1" spans="1:14" ht="130.19999999999999" customHeight="1" x14ac:dyDescent="0.3"/>
    <row r="2" spans="1:14" ht="18.600000000000001" customHeight="1" x14ac:dyDescent="0.3">
      <c r="A2" s="25" t="s">
        <v>27</v>
      </c>
      <c r="B2" s="25"/>
      <c r="C2" s="25"/>
      <c r="D2" s="25"/>
      <c r="E2" s="25"/>
      <c r="F2" s="25"/>
      <c r="G2" s="25"/>
      <c r="H2" s="1"/>
      <c r="I2" s="3"/>
      <c r="J2" s="3"/>
      <c r="K2" s="12"/>
    </row>
    <row r="3" spans="1:14" ht="18.600000000000001" customHeight="1" x14ac:dyDescent="0.3">
      <c r="A3" s="1" t="s">
        <v>37</v>
      </c>
      <c r="B3" s="1"/>
      <c r="C3" s="1"/>
      <c r="D3" s="1"/>
      <c r="E3" s="1"/>
      <c r="F3" s="1"/>
      <c r="G3" s="1"/>
      <c r="H3" s="1"/>
      <c r="I3" s="3"/>
      <c r="J3" s="3"/>
      <c r="K3" s="12"/>
    </row>
    <row r="4" spans="1:14" ht="15.6" x14ac:dyDescent="0.3">
      <c r="A4" s="41" t="s">
        <v>0</v>
      </c>
      <c r="B4" s="41"/>
      <c r="C4" s="41"/>
      <c r="D4" s="41"/>
      <c r="E4" s="41"/>
      <c r="F4" s="41"/>
      <c r="G4" s="41"/>
      <c r="H4" s="2"/>
      <c r="I4" s="3"/>
      <c r="J4" s="3"/>
      <c r="K4" s="12"/>
    </row>
    <row r="5" spans="1:14" ht="24" customHeight="1" x14ac:dyDescent="0.35">
      <c r="A5" s="42" t="s">
        <v>17</v>
      </c>
      <c r="B5" s="42"/>
      <c r="C5" s="42"/>
      <c r="D5" s="42"/>
      <c r="E5" s="42"/>
      <c r="F5" s="42"/>
      <c r="G5" s="42"/>
      <c r="H5" s="42"/>
      <c r="I5" s="42"/>
      <c r="J5" s="42"/>
      <c r="K5" s="42"/>
    </row>
    <row r="6" spans="1:14" ht="15.6" x14ac:dyDescent="0.3">
      <c r="A6" s="48" t="s">
        <v>1</v>
      </c>
      <c r="B6" s="48" t="s">
        <v>2</v>
      </c>
      <c r="C6" s="49" t="s">
        <v>3</v>
      </c>
      <c r="D6" s="48" t="s">
        <v>4</v>
      </c>
      <c r="E6" s="43" t="s">
        <v>16</v>
      </c>
      <c r="F6" s="44"/>
      <c r="G6" s="45"/>
      <c r="H6" s="51" t="s">
        <v>5</v>
      </c>
      <c r="I6" s="51" t="s">
        <v>6</v>
      </c>
      <c r="J6" s="49" t="s">
        <v>7</v>
      </c>
      <c r="K6" s="53" t="s">
        <v>8</v>
      </c>
    </row>
    <row r="7" spans="1:14" ht="15.6" x14ac:dyDescent="0.3">
      <c r="A7" s="48"/>
      <c r="B7" s="48"/>
      <c r="C7" s="50"/>
      <c r="D7" s="48"/>
      <c r="E7" s="20" t="s">
        <v>9</v>
      </c>
      <c r="F7" s="20" t="s">
        <v>18</v>
      </c>
      <c r="G7" s="4" t="s">
        <v>10</v>
      </c>
      <c r="H7" s="52"/>
      <c r="I7" s="52"/>
      <c r="J7" s="50"/>
      <c r="K7" s="53"/>
    </row>
    <row r="8" spans="1:14" ht="15.6" x14ac:dyDescent="0.3">
      <c r="A8" s="30">
        <v>1</v>
      </c>
      <c r="B8" s="5" t="s">
        <v>25</v>
      </c>
      <c r="C8" s="5" t="s">
        <v>25</v>
      </c>
      <c r="D8" s="5" t="s">
        <v>20</v>
      </c>
      <c r="E8" s="5"/>
      <c r="F8" s="5"/>
      <c r="G8" s="5"/>
      <c r="H8" s="5">
        <v>1</v>
      </c>
      <c r="I8" s="6">
        <v>50</v>
      </c>
      <c r="J8" s="13">
        <v>64814</v>
      </c>
      <c r="K8" s="26">
        <f>J8*I8</f>
        <v>3240700</v>
      </c>
    </row>
    <row r="9" spans="1:14" ht="15.6" x14ac:dyDescent="0.3">
      <c r="A9" s="39" t="s">
        <v>22</v>
      </c>
      <c r="B9" s="40"/>
      <c r="C9" s="40"/>
      <c r="D9" s="40"/>
      <c r="E9" s="40"/>
      <c r="F9" s="40"/>
      <c r="G9" s="40"/>
      <c r="H9" s="22"/>
      <c r="I9" s="23"/>
      <c r="J9" s="14"/>
      <c r="K9" s="15">
        <f>SUM(K8:K8)</f>
        <v>3240700</v>
      </c>
      <c r="M9" s="24"/>
      <c r="N9" s="24"/>
    </row>
    <row r="10" spans="1:14" ht="15.6" x14ac:dyDescent="0.3">
      <c r="A10" s="28"/>
      <c r="B10" s="29"/>
      <c r="C10" s="29" t="s">
        <v>21</v>
      </c>
      <c r="D10" s="29"/>
      <c r="E10" s="29"/>
      <c r="F10" s="29"/>
      <c r="G10" s="29"/>
      <c r="H10" s="22"/>
      <c r="I10" s="23"/>
      <c r="J10" s="14"/>
      <c r="K10" s="15">
        <f>K9*8%</f>
        <v>259256</v>
      </c>
      <c r="M10" s="24"/>
      <c r="N10" s="24"/>
    </row>
    <row r="11" spans="1:14" ht="15.6" x14ac:dyDescent="0.3">
      <c r="A11" s="28"/>
      <c r="B11" s="29"/>
      <c r="C11" s="29" t="s">
        <v>24</v>
      </c>
      <c r="D11" s="29"/>
      <c r="E11" s="29"/>
      <c r="F11" s="29"/>
      <c r="G11" s="29"/>
      <c r="H11" s="22"/>
      <c r="I11" s="23"/>
      <c r="J11" s="14"/>
      <c r="K11" s="15">
        <f>K9+K10</f>
        <v>3499956</v>
      </c>
      <c r="M11" s="24"/>
      <c r="N11" s="24"/>
    </row>
    <row r="12" spans="1:14" ht="15.6" x14ac:dyDescent="0.3">
      <c r="A12" s="43" t="s">
        <v>23</v>
      </c>
      <c r="B12" s="46"/>
      <c r="C12" s="46"/>
      <c r="D12" s="46"/>
      <c r="E12" s="46"/>
      <c r="F12" s="46"/>
      <c r="G12" s="45"/>
      <c r="H12" s="7"/>
      <c r="I12" s="4"/>
      <c r="J12" s="4"/>
      <c r="K12" s="16">
        <f>K11</f>
        <v>3499956</v>
      </c>
      <c r="M12" s="24"/>
    </row>
    <row r="13" spans="1:14" ht="15.6" x14ac:dyDescent="0.3">
      <c r="A13" s="54" t="s">
        <v>11</v>
      </c>
      <c r="B13" s="54"/>
      <c r="C13" s="9"/>
      <c r="D13" s="9"/>
      <c r="E13" s="9"/>
      <c r="F13" s="9"/>
      <c r="G13" s="9"/>
      <c r="H13" s="10"/>
      <c r="I13" s="10"/>
      <c r="J13" s="10"/>
      <c r="K13" s="10"/>
    </row>
    <row r="14" spans="1:14" ht="15.6" x14ac:dyDescent="0.3">
      <c r="A14" s="8"/>
      <c r="B14" s="8"/>
      <c r="C14" s="9"/>
      <c r="D14" s="9"/>
      <c r="E14" s="9"/>
      <c r="F14" s="9"/>
      <c r="G14" s="9"/>
      <c r="H14" s="27"/>
      <c r="I14" s="27"/>
      <c r="J14" s="27"/>
      <c r="K14" s="27"/>
    </row>
    <row r="15" spans="1:14" ht="15.6" x14ac:dyDescent="0.3">
      <c r="A15" s="8"/>
      <c r="B15" s="8"/>
      <c r="C15" s="9"/>
      <c r="D15" s="9"/>
      <c r="E15" s="9"/>
      <c r="F15" s="9"/>
      <c r="G15" s="9"/>
      <c r="H15" s="27"/>
      <c r="I15" s="27"/>
      <c r="J15" s="27"/>
      <c r="K15" s="27"/>
    </row>
    <row r="16" spans="1:14" ht="15" customHeight="1" x14ac:dyDescent="0.3">
      <c r="A16" s="8" t="s">
        <v>12</v>
      </c>
      <c r="B16" s="8"/>
      <c r="C16" s="8"/>
      <c r="D16" s="8"/>
      <c r="E16" s="8"/>
      <c r="F16" s="8"/>
      <c r="G16" s="8"/>
      <c r="H16" s="10"/>
      <c r="I16" s="10"/>
      <c r="J16" s="10"/>
      <c r="K16" s="10"/>
    </row>
    <row r="17" spans="1:11" ht="15.6" x14ac:dyDescent="0.3">
      <c r="A17" s="9" t="s">
        <v>13</v>
      </c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ht="15.6" x14ac:dyDescent="0.3">
      <c r="B18" s="11"/>
      <c r="C18" s="11"/>
      <c r="D18" s="11"/>
      <c r="E18" s="11"/>
      <c r="F18" s="11"/>
      <c r="G18" s="55" t="s">
        <v>38</v>
      </c>
      <c r="H18" s="55"/>
      <c r="I18" s="55"/>
      <c r="J18" s="55"/>
      <c r="K18" s="11"/>
    </row>
    <row r="19" spans="1:11" ht="15.6" x14ac:dyDescent="0.3">
      <c r="B19" s="56" t="s">
        <v>14</v>
      </c>
      <c r="C19" s="56"/>
      <c r="D19" s="11"/>
      <c r="E19" s="11"/>
      <c r="F19" s="11"/>
      <c r="G19" s="38" t="s">
        <v>15</v>
      </c>
      <c r="H19" s="38"/>
      <c r="I19" s="38"/>
      <c r="J19" s="38"/>
      <c r="K19" s="11"/>
    </row>
    <row r="20" spans="1:11" x14ac:dyDescent="0.3">
      <c r="B20" s="11"/>
      <c r="C20" s="11"/>
      <c r="D20" s="11"/>
      <c r="E20" s="11"/>
      <c r="F20" s="11"/>
      <c r="G20" s="11"/>
      <c r="H20" s="11"/>
      <c r="I20" s="11"/>
      <c r="J20" s="11"/>
      <c r="K20" s="11"/>
    </row>
    <row r="21" spans="1:11" ht="15.6" x14ac:dyDescent="0.3">
      <c r="B21" s="11"/>
      <c r="C21" s="11"/>
      <c r="D21" s="11"/>
      <c r="E21" s="11"/>
      <c r="F21" s="11"/>
      <c r="G21" s="11"/>
      <c r="H21" s="47"/>
      <c r="I21" s="47"/>
      <c r="J21" s="47"/>
      <c r="K21" s="47"/>
    </row>
    <row r="22" spans="1:11" x14ac:dyDescent="0.3">
      <c r="B22" s="11"/>
      <c r="C22" s="11"/>
      <c r="D22" s="11"/>
      <c r="E22" s="11"/>
      <c r="F22" s="11"/>
      <c r="G22" s="11"/>
      <c r="H22" s="11"/>
      <c r="I22" s="11"/>
      <c r="J22" s="11"/>
      <c r="K22" s="11"/>
    </row>
    <row r="23" spans="1:11" x14ac:dyDescent="0.3">
      <c r="B23" s="11"/>
      <c r="C23" s="11"/>
      <c r="D23" s="11"/>
      <c r="E23" s="11"/>
      <c r="F23" s="11"/>
      <c r="G23" s="11"/>
      <c r="H23" s="11"/>
      <c r="I23" s="11"/>
      <c r="J23" s="11"/>
      <c r="K23" s="11"/>
    </row>
    <row r="24" spans="1:11" x14ac:dyDescent="0.3">
      <c r="B24" s="11"/>
      <c r="C24" s="11"/>
      <c r="D24" s="11"/>
      <c r="E24" s="11"/>
      <c r="F24" s="11"/>
      <c r="G24" s="11"/>
      <c r="H24" s="11"/>
      <c r="I24" s="11"/>
      <c r="J24" s="11"/>
      <c r="K24" s="11"/>
    </row>
    <row r="25" spans="1:11" x14ac:dyDescent="0.3">
      <c r="B25" s="11"/>
      <c r="C25" s="11"/>
      <c r="D25" s="11"/>
      <c r="E25" s="11"/>
      <c r="F25" s="11"/>
      <c r="G25" s="11"/>
      <c r="H25" s="11"/>
      <c r="I25" s="11"/>
      <c r="J25" s="11"/>
      <c r="K25" s="11"/>
    </row>
    <row r="26" spans="1:11" x14ac:dyDescent="0.3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1:11" x14ac:dyDescent="0.3">
      <c r="B27" s="11"/>
      <c r="C27" s="11"/>
      <c r="D27" s="11"/>
      <c r="E27" s="11"/>
      <c r="F27" s="11"/>
      <c r="G27" s="11"/>
      <c r="H27" s="11"/>
      <c r="I27" s="11"/>
      <c r="J27" s="11"/>
      <c r="K27" s="11"/>
    </row>
  </sheetData>
  <mergeCells count="18">
    <mergeCell ref="H21:K21"/>
    <mergeCell ref="A6:A7"/>
    <mergeCell ref="B6:B7"/>
    <mergeCell ref="C6:C7"/>
    <mergeCell ref="D6:D7"/>
    <mergeCell ref="H6:H7"/>
    <mergeCell ref="I6:I7"/>
    <mergeCell ref="J6:J7"/>
    <mergeCell ref="K6:K7"/>
    <mergeCell ref="A13:B13"/>
    <mergeCell ref="G18:J18"/>
    <mergeCell ref="B19:C19"/>
    <mergeCell ref="G19:J19"/>
    <mergeCell ref="A9:G9"/>
    <mergeCell ref="A4:G4"/>
    <mergeCell ref="A5:K5"/>
    <mergeCell ref="E6:G6"/>
    <mergeCell ref="A12:G12"/>
  </mergeCells>
  <phoneticPr fontId="11" type="noConversion"/>
  <conditionalFormatting sqref="A8:K8">
    <cfRule type="expression" dxfId="2" priority="1">
      <formula>A8&lt;&gt;""</formula>
    </cfRule>
  </conditionalFormatting>
  <pageMargins left="0.70866141732283472" right="0.70866141732283472" top="0.74803149606299213" bottom="0.74803149606299213" header="0.31496062992125984" footer="0.31496062992125984"/>
  <pageSetup scale="8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L35"/>
  <sheetViews>
    <sheetView topLeftCell="A4" workbookViewId="0">
      <selection activeCell="M14" sqref="M14"/>
    </sheetView>
  </sheetViews>
  <sheetFormatPr defaultColWidth="9" defaultRowHeight="14.4" x14ac:dyDescent="0.3"/>
  <cols>
    <col min="2" max="2" width="17.33203125" customWidth="1"/>
    <col min="10" max="10" width="12.109375" bestFit="1" customWidth="1"/>
    <col min="11" max="11" width="13.21875" customWidth="1"/>
  </cols>
  <sheetData>
    <row r="10" spans="1:12" ht="15.6" x14ac:dyDescent="0.3">
      <c r="A10" s="25" t="s">
        <v>28</v>
      </c>
      <c r="B10" s="25"/>
      <c r="C10" s="25"/>
      <c r="D10" s="25"/>
      <c r="E10" s="25"/>
      <c r="F10" s="25"/>
      <c r="G10" s="25"/>
      <c r="H10" s="1"/>
      <c r="I10" s="3"/>
      <c r="J10" s="3"/>
      <c r="K10" s="12"/>
    </row>
    <row r="11" spans="1:12" ht="15.6" x14ac:dyDescent="0.3">
      <c r="A11" s="1" t="s">
        <v>29</v>
      </c>
      <c r="B11" s="1"/>
      <c r="C11" s="1"/>
      <c r="D11" s="1"/>
      <c r="E11" s="1"/>
      <c r="F11" s="1"/>
      <c r="G11" s="1"/>
      <c r="H11" s="1"/>
      <c r="I11" s="3"/>
      <c r="J11" s="3"/>
      <c r="K11" s="12"/>
    </row>
    <row r="12" spans="1:12" ht="15.6" x14ac:dyDescent="0.3">
      <c r="A12" s="41" t="s">
        <v>0</v>
      </c>
      <c r="B12" s="41"/>
      <c r="C12" s="41"/>
      <c r="D12" s="41"/>
      <c r="E12" s="41"/>
      <c r="F12" s="41"/>
      <c r="G12" s="41"/>
      <c r="H12" s="32"/>
      <c r="I12" s="3"/>
      <c r="J12" s="3"/>
      <c r="K12" s="12"/>
    </row>
    <row r="13" spans="1:12" ht="20.399999999999999" x14ac:dyDescent="0.35">
      <c r="A13" s="42" t="s">
        <v>17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17"/>
    </row>
    <row r="14" spans="1:12" ht="15.6" x14ac:dyDescent="0.3">
      <c r="A14" s="48" t="s">
        <v>1</v>
      </c>
      <c r="B14" s="48" t="s">
        <v>2</v>
      </c>
      <c r="C14" s="49" t="s">
        <v>3</v>
      </c>
      <c r="D14" s="48" t="s">
        <v>4</v>
      </c>
      <c r="E14" s="43" t="s">
        <v>16</v>
      </c>
      <c r="F14" s="44"/>
      <c r="G14" s="45"/>
      <c r="H14" s="51" t="s">
        <v>5</v>
      </c>
      <c r="I14" s="51" t="s">
        <v>6</v>
      </c>
      <c r="J14" s="49" t="s">
        <v>7</v>
      </c>
      <c r="K14" s="53" t="s">
        <v>8</v>
      </c>
      <c r="L14" s="60" t="s">
        <v>19</v>
      </c>
    </row>
    <row r="15" spans="1:12" ht="15.6" x14ac:dyDescent="0.3">
      <c r="A15" s="48"/>
      <c r="B15" s="48"/>
      <c r="C15" s="50"/>
      <c r="D15" s="48"/>
      <c r="E15" s="20" t="s">
        <v>9</v>
      </c>
      <c r="F15" s="20" t="s">
        <v>18</v>
      </c>
      <c r="G15" s="34" t="s">
        <v>10</v>
      </c>
      <c r="H15" s="52"/>
      <c r="I15" s="52"/>
      <c r="J15" s="50"/>
      <c r="K15" s="53"/>
      <c r="L15" s="61"/>
    </row>
    <row r="16" spans="1:12" ht="31.2" x14ac:dyDescent="0.3">
      <c r="A16" s="30">
        <v>1</v>
      </c>
      <c r="B16" s="5" t="s">
        <v>30</v>
      </c>
      <c r="C16" s="5" t="s">
        <v>31</v>
      </c>
      <c r="D16" s="5" t="s">
        <v>34</v>
      </c>
      <c r="E16" s="5"/>
      <c r="F16" s="5"/>
      <c r="G16" s="5"/>
      <c r="H16" s="5">
        <v>2</v>
      </c>
      <c r="I16" s="6">
        <v>2</v>
      </c>
      <c r="J16" s="13">
        <v>4000000</v>
      </c>
      <c r="K16" s="26">
        <f>J16*I16</f>
        <v>8000000</v>
      </c>
      <c r="L16" s="31"/>
    </row>
    <row r="17" spans="1:12" ht="31.2" x14ac:dyDescent="0.3">
      <c r="A17" s="30">
        <v>2</v>
      </c>
      <c r="B17" s="5" t="s">
        <v>32</v>
      </c>
      <c r="C17" s="5"/>
      <c r="D17" s="5" t="s">
        <v>33</v>
      </c>
      <c r="E17" s="5"/>
      <c r="F17" s="5"/>
      <c r="G17" s="5"/>
      <c r="H17" s="5">
        <v>2</v>
      </c>
      <c r="I17" s="6">
        <v>60</v>
      </c>
      <c r="J17" s="13">
        <v>350000</v>
      </c>
      <c r="K17" s="26">
        <f>J17*I17</f>
        <v>21000000</v>
      </c>
      <c r="L17" s="21"/>
    </row>
    <row r="18" spans="1:12" ht="15.6" x14ac:dyDescent="0.3">
      <c r="A18" s="39" t="s">
        <v>22</v>
      </c>
      <c r="B18" s="40"/>
      <c r="C18" s="40"/>
      <c r="D18" s="40"/>
      <c r="E18" s="40"/>
      <c r="F18" s="40"/>
      <c r="G18" s="40"/>
      <c r="H18" s="22"/>
      <c r="I18" s="23"/>
      <c r="J18" s="14"/>
      <c r="K18" s="15">
        <f>K16+K17</f>
        <v>29000000</v>
      </c>
      <c r="L18" s="18"/>
    </row>
    <row r="19" spans="1:12" ht="15.6" x14ac:dyDescent="0.3">
      <c r="A19" s="28"/>
      <c r="B19" s="29"/>
      <c r="C19" s="29" t="s">
        <v>21</v>
      </c>
      <c r="D19" s="29"/>
      <c r="E19" s="29"/>
      <c r="F19" s="29"/>
      <c r="G19" s="29"/>
      <c r="H19" s="22"/>
      <c r="I19" s="23"/>
      <c r="J19" s="14"/>
      <c r="K19" s="15">
        <f>K18*8%</f>
        <v>2320000</v>
      </c>
      <c r="L19" s="18"/>
    </row>
    <row r="20" spans="1:12" ht="15.6" x14ac:dyDescent="0.3">
      <c r="A20" s="28"/>
      <c r="B20" s="29"/>
      <c r="C20" s="29" t="s">
        <v>24</v>
      </c>
      <c r="D20" s="29"/>
      <c r="E20" s="29"/>
      <c r="F20" s="29"/>
      <c r="G20" s="29"/>
      <c r="H20" s="22"/>
      <c r="I20" s="23"/>
      <c r="J20" s="14"/>
      <c r="K20" s="15">
        <f>K18+K19</f>
        <v>31320000</v>
      </c>
      <c r="L20" s="36"/>
    </row>
    <row r="21" spans="1:12" ht="15.6" x14ac:dyDescent="0.3">
      <c r="A21" s="57" t="s">
        <v>35</v>
      </c>
      <c r="B21" s="58"/>
      <c r="C21" s="58"/>
      <c r="D21" s="58"/>
      <c r="E21" s="58"/>
      <c r="F21" s="58"/>
      <c r="G21" s="58"/>
      <c r="H21" s="58"/>
      <c r="I21" s="58"/>
      <c r="J21" s="59"/>
      <c r="K21" s="37">
        <v>15000000</v>
      </c>
      <c r="L21" s="36"/>
    </row>
    <row r="22" spans="1:12" ht="15.6" x14ac:dyDescent="0.3">
      <c r="A22" s="57" t="s">
        <v>36</v>
      </c>
      <c r="B22" s="58"/>
      <c r="C22" s="58"/>
      <c r="D22" s="58"/>
      <c r="E22" s="58"/>
      <c r="F22" s="58"/>
      <c r="G22" s="58"/>
      <c r="H22" s="58"/>
      <c r="I22" s="58"/>
      <c r="J22" s="59"/>
      <c r="K22" s="37">
        <v>8000000</v>
      </c>
      <c r="L22" s="36"/>
    </row>
    <row r="23" spans="1:12" ht="15.6" x14ac:dyDescent="0.3">
      <c r="A23" s="43" t="s">
        <v>23</v>
      </c>
      <c r="B23" s="46"/>
      <c r="C23" s="46"/>
      <c r="D23" s="46"/>
      <c r="E23" s="46"/>
      <c r="F23" s="46"/>
      <c r="G23" s="45"/>
      <c r="H23" s="33"/>
      <c r="I23" s="34"/>
      <c r="J23" s="34"/>
      <c r="K23" s="16">
        <f>K20-K21-K22</f>
        <v>8320000</v>
      </c>
      <c r="L23" s="19"/>
    </row>
    <row r="24" spans="1:12" ht="15.6" x14ac:dyDescent="0.3">
      <c r="A24" s="54" t="s">
        <v>11</v>
      </c>
      <c r="B24" s="54"/>
      <c r="C24" s="9"/>
      <c r="D24" s="9"/>
      <c r="E24" s="9"/>
      <c r="F24" s="9"/>
      <c r="G24" s="9"/>
      <c r="H24" s="10"/>
      <c r="I24" s="10"/>
      <c r="J24" s="10"/>
      <c r="K24" s="10"/>
      <c r="L24" s="17"/>
    </row>
    <row r="25" spans="1:12" ht="15.6" x14ac:dyDescent="0.3">
      <c r="A25" s="8"/>
      <c r="B25" s="8"/>
      <c r="C25" s="9"/>
      <c r="D25" s="9"/>
      <c r="E25" s="9"/>
      <c r="F25" s="9"/>
      <c r="G25" s="9"/>
      <c r="H25" s="35"/>
      <c r="I25" s="35"/>
      <c r="J25" s="35"/>
      <c r="K25" s="35"/>
    </row>
    <row r="26" spans="1:12" ht="15.6" x14ac:dyDescent="0.3">
      <c r="A26" s="8"/>
      <c r="B26" s="8"/>
      <c r="C26" s="9"/>
      <c r="D26" s="9"/>
      <c r="E26" s="9"/>
      <c r="F26" s="9"/>
      <c r="G26" s="9"/>
      <c r="H26" s="35"/>
      <c r="I26" s="35"/>
      <c r="J26" s="35"/>
      <c r="K26" s="35"/>
    </row>
    <row r="27" spans="1:12" ht="15.6" x14ac:dyDescent="0.3">
      <c r="A27" s="8" t="s">
        <v>12</v>
      </c>
      <c r="B27" s="8"/>
      <c r="C27" s="8"/>
      <c r="D27" s="8"/>
      <c r="E27" s="8"/>
      <c r="F27" s="8"/>
      <c r="G27" s="8"/>
      <c r="H27" s="10"/>
      <c r="I27" s="10"/>
      <c r="J27" s="10"/>
      <c r="K27" s="10"/>
    </row>
    <row r="28" spans="1:12" ht="15.6" x14ac:dyDescent="0.3">
      <c r="A28" s="9" t="s">
        <v>13</v>
      </c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2" ht="15.6" x14ac:dyDescent="0.3">
      <c r="B29" s="11"/>
      <c r="C29" s="11"/>
      <c r="D29" s="11"/>
      <c r="E29" s="11"/>
      <c r="F29" s="11"/>
      <c r="G29" s="55" t="s">
        <v>26</v>
      </c>
      <c r="H29" s="55"/>
      <c r="I29" s="55"/>
      <c r="J29" s="55"/>
      <c r="K29" s="11"/>
    </row>
    <row r="30" spans="1:12" ht="15.6" x14ac:dyDescent="0.3">
      <c r="B30" s="56" t="s">
        <v>14</v>
      </c>
      <c r="C30" s="56"/>
      <c r="D30" s="11"/>
      <c r="E30" s="11"/>
      <c r="F30" s="11"/>
      <c r="G30" s="38" t="s">
        <v>15</v>
      </c>
      <c r="H30" s="38"/>
      <c r="I30" s="38"/>
      <c r="J30" s="38"/>
      <c r="K30" s="11"/>
    </row>
    <row r="31" spans="1:12" x14ac:dyDescent="0.3">
      <c r="B31" s="11"/>
      <c r="C31" s="11"/>
      <c r="D31" s="11"/>
      <c r="E31" s="11"/>
      <c r="F31" s="11"/>
      <c r="G31" s="11"/>
      <c r="H31" s="11"/>
      <c r="I31" s="11"/>
      <c r="J31" s="11"/>
      <c r="K31" s="11"/>
    </row>
    <row r="32" spans="1:12" ht="15.6" x14ac:dyDescent="0.3">
      <c r="B32" s="11"/>
      <c r="C32" s="11"/>
      <c r="D32" s="11"/>
      <c r="E32" s="11"/>
      <c r="F32" s="11"/>
      <c r="G32" s="11"/>
      <c r="H32" s="47"/>
      <c r="I32" s="47"/>
      <c r="J32" s="47"/>
      <c r="K32" s="47"/>
    </row>
    <row r="33" spans="2:11" x14ac:dyDescent="0.3">
      <c r="B33" s="11"/>
      <c r="C33" s="11"/>
      <c r="D33" s="11"/>
      <c r="E33" s="11"/>
      <c r="F33" s="11"/>
      <c r="G33" s="11"/>
      <c r="H33" s="11"/>
      <c r="I33" s="11"/>
      <c r="J33" s="11"/>
      <c r="K33" s="11"/>
    </row>
    <row r="34" spans="2:11" x14ac:dyDescent="0.3">
      <c r="B34" s="11"/>
      <c r="C34" s="11"/>
      <c r="D34" s="11"/>
      <c r="E34" s="11"/>
      <c r="F34" s="11"/>
      <c r="G34" s="11"/>
      <c r="H34" s="11"/>
      <c r="I34" s="11"/>
      <c r="J34" s="11"/>
      <c r="K34" s="11"/>
    </row>
    <row r="35" spans="2:11" x14ac:dyDescent="0.3">
      <c r="B35" s="11"/>
      <c r="C35" s="11"/>
      <c r="D35" s="11"/>
      <c r="E35" s="11"/>
      <c r="F35" s="11"/>
      <c r="G35" s="11"/>
      <c r="H35" s="11"/>
      <c r="I35" s="11"/>
      <c r="J35" s="11"/>
      <c r="K35" s="11"/>
    </row>
  </sheetData>
  <mergeCells count="21">
    <mergeCell ref="H32:K32"/>
    <mergeCell ref="A21:J21"/>
    <mergeCell ref="A22:J22"/>
    <mergeCell ref="G29:J29"/>
    <mergeCell ref="L14:L15"/>
    <mergeCell ref="A18:G18"/>
    <mergeCell ref="A23:G23"/>
    <mergeCell ref="A24:B24"/>
    <mergeCell ref="B30:C30"/>
    <mergeCell ref="G30:J30"/>
    <mergeCell ref="A12:G12"/>
    <mergeCell ref="A13:K13"/>
    <mergeCell ref="A14:A15"/>
    <mergeCell ref="B14:B15"/>
    <mergeCell ref="C14:C15"/>
    <mergeCell ref="D14:D15"/>
    <mergeCell ref="E14:G14"/>
    <mergeCell ref="H14:H15"/>
    <mergeCell ref="I14:I15"/>
    <mergeCell ref="J14:J15"/>
    <mergeCell ref="K14:K15"/>
  </mergeCells>
  <conditionalFormatting sqref="A17:L17">
    <cfRule type="expression" dxfId="1" priority="2">
      <formula>A17&lt;&gt;""</formula>
    </cfRule>
  </conditionalFormatting>
  <conditionalFormatting sqref="A16:K16">
    <cfRule type="expression" dxfId="0" priority="1">
      <formula>A16&lt;&gt;""</formula>
    </cfRule>
  </conditionalFormatting>
  <pageMargins left="0.7" right="0.7" top="0.75" bottom="0.75" header="0.3" footer="0.3"/>
  <pageSetup paperSize="9" orientation="portrait" horizontalDpi="4294967292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cổng chào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 Phat</dc:creator>
  <cp:lastModifiedBy>2024</cp:lastModifiedBy>
  <cp:lastPrinted>2025-05-13T08:36:48Z</cp:lastPrinted>
  <dcterms:created xsi:type="dcterms:W3CDTF">2020-09-13T03:39:00Z</dcterms:created>
  <dcterms:modified xsi:type="dcterms:W3CDTF">2026-01-22T10:24:52Z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338F6FE9B10F4DF6AB535D964226CB69</vt:lpwstr>
  </property>
  <property fmtid="{D5CDD505-2E9C-101B-9397-08002B2CF9AE}" pid="3" name="KSOProductBuildVer">
    <vt:lpwstr>1033-11.2.0.11380</vt:lpwstr>
  </property>
</Properties>
</file>